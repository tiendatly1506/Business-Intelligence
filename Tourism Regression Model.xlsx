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alysis" sheetId="1" state="visible" r:id="rId3"/>
    <sheet name="Data" sheetId="2" state="visible" r:id="rId4"/>
    <sheet name="Scatter Plo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<sst xmlns="http://schemas.openxmlformats.org/spreadsheetml/2006/main" count="47" uniqueCount="45">
  <si>
    <t xml:space="preserve">Guest Nights vs. Tax Revenue: Correlation and Simple Linear Regression</t>
  </si>
  <si>
    <t xml:space="preserve">X = Guest nights ('000) | Y = Tax revenue ($m) | Annual data 1980-2024. All figures below are live formulas on the Data sheet.</t>
  </si>
  <si>
    <t xml:space="preserve">1. Correlation</t>
  </si>
  <si>
    <t xml:space="preserve">Correlation coefficient (r)</t>
  </si>
  <si>
    <t xml:space="preserve">Very strong, positive linear relationship (close to +1)</t>
  </si>
  <si>
    <t xml:space="preserve">2. Regression statistics</t>
  </si>
  <si>
    <t xml:space="preserve">Multiple R</t>
  </si>
  <si>
    <t xml:space="preserve">Equals |r| in simple regression</t>
  </si>
  <si>
    <t xml:space="preserve">R Square</t>
  </si>
  <si>
    <t xml:space="preserve">Share of variation in tax revenue explained by guest nights</t>
  </si>
  <si>
    <t xml:space="preserve">Adjusted R Square</t>
  </si>
  <si>
    <t xml:space="preserve">Adjusted for one predictor</t>
  </si>
  <si>
    <t xml:space="preserve">Standard Error</t>
  </si>
  <si>
    <t xml:space="preserve">Average distance of observed points from the line ($m)</t>
  </si>
  <si>
    <t xml:space="preserve">Observations</t>
  </si>
  <si>
    <t xml:space="preserve">3. ANOVA</t>
  </si>
  <si>
    <t xml:space="preserve">Source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</si>
  <si>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</si>
  <si>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</si>
  <si>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</si>
  <si>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</si>
  <si>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</si>
  <si>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Regression</t>
  </si>
  <si>
    <t xml:space="preserve">Residual</t>
  </si>
  <si>
    <t xml:space="preserve">Total</t>
  </si>
  <si>
    <t xml:space="preserve">4. Coefficients</t>
  </si>
  <si>
    <t xml:space="preserve">Coefficient</t>
  </si>
  <si>
    <t xml:space="preserve">t Stat</t>
  </si>
  <si>
    <t xml:space="preserve">P-value</t>
  </si>
  <si>
    <t xml:space="preserve">Lower 95%</t>
  </si>
  <si>
    <t xml:space="preserve">Upper 95%</t>
  </si>
  <si>
    <t xml:space="preserve">Intercept</t>
  </si>
  <si>
    <t xml:space="preserve">Guest nights ('000)</t>
  </si>
  <si>
    <t xml:space="preserve">5. Fitted model</t>
  </si>
  <si>
    <t xml:space="preserve">Tax Revenue ($m) = Intercept + Slope x Guest nights ('000)</t>
  </si>
  <si>
    <t xml:space="preserve">Interpretation: each additional 1,000 guest nights is associated with about $0.149m more tax revenue (slope is in $m per '000 guest nights).</t>
  </si>
  <si>
    <t xml:space="preserve">6. Forecast calculator</t>
  </si>
  <si>
    <t xml:space="preserve">Guest nights ('000) - edit this cell</t>
  </si>
  <si>
    <t xml:space="preserve">Input (yellow). Observed range: see Data sheet; the model should not be used far outside it.</t>
  </si>
  <si>
    <t xml:space="preserve">Predicted tax revenue ($m)</t>
  </si>
  <si>
    <t xml:space="preserve">In observed range?</t>
  </si>
  <si>
    <t xml:space="preserve">Year</t>
  </si>
  <si>
    <t xml:space="preserve">Tax revenue ($m)</t>
  </si>
  <si>
    <t xml:space="preserve">Source: Tourism_data.xlsx provided with the course assessment (annual data, 1980-2024). Blue = raw input data.</t>
  </si>
  <si>
    <t xml:space="preserve">Scatter plot with linear trendline (equation and R-squared displayed)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</si>
</sst>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000"/>
    <numFmt numFmtId="166" formatCode="0.0000"/>
    <numFmt numFmtId="167" formatCode="0"/>
    <numFmt numFmtId="168" formatCode="#,##0.00"/>
    <numFmt numFmtId="169" formatCode="0.00E+00"/>
    <numFmt numFmtId="170" formatCode="#,##0"/>
    <numFmt numFmtId="171" formatCode="#,##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sz val="11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Guest Nights vs. Tax Revenue (1980-2024)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"Annual observations"</c:f>
              <c:strCache>
                <c:ptCount val="1"/>
                <c:pt idx="0">
                  <c:v>Annual observations</c:v>
                </c:pt>
              </c:strCache>
            </c:strRef>
          </c:tx>
          <c:spPr>
            <a:solidFill>
              <a:srgbClr val="1f4e79"/>
            </a:solidFill>
            <a:ln w="47520">
              <a:noFill/>
            </a:ln>
          </c:spPr>
          <c:marker>
            <c:symbol val="circle"/>
            <c:size val="7"/>
            <c:spPr>
              <a:solidFill>
                <a:srgbClr val="1f4e7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Data!$B$2:$B$46</c:f>
              <c:numCache>
                <c:formatCode>#,##0</c:formatCode>
                <c:ptCount val="45"/>
                <c:pt idx="0">
                  <c:v>20745</c:v>
                </c:pt>
                <c:pt idx="1">
                  <c:v>20293</c:v>
                </c:pt>
                <c:pt idx="2">
                  <c:v>21972</c:v>
                </c:pt>
                <c:pt idx="3">
                  <c:v>23785</c:v>
                </c:pt>
                <c:pt idx="4">
                  <c:v>21649</c:v>
                </c:pt>
                <c:pt idx="5">
                  <c:v>22149</c:v>
                </c:pt>
                <c:pt idx="6">
                  <c:v>25369</c:v>
                </c:pt>
                <c:pt idx="7">
                  <c:v>24651</c:v>
                </c:pt>
                <c:pt idx="8">
                  <c:v>23296</c:v>
                </c:pt>
                <c:pt idx="9">
                  <c:v>25314</c:v>
                </c:pt>
                <c:pt idx="10">
                  <c:v>24305</c:v>
                </c:pt>
                <c:pt idx="11">
                  <c:v>24801</c:v>
                </c:pt>
                <c:pt idx="12">
                  <c:v>26363</c:v>
                </c:pt>
                <c:pt idx="13">
                  <c:v>23630</c:v>
                </c:pt>
                <c:pt idx="14">
                  <c:v>24413</c:v>
                </c:pt>
                <c:pt idx="15">
                  <c:v>26657</c:v>
                </c:pt>
                <c:pt idx="16">
                  <c:v>26481</c:v>
                </c:pt>
                <c:pt idx="17">
                  <c:v>28971</c:v>
                </c:pt>
                <c:pt idx="18">
                  <c:v>27638</c:v>
                </c:pt>
                <c:pt idx="19">
                  <c:v>27382</c:v>
                </c:pt>
                <c:pt idx="20">
                  <c:v>32198</c:v>
                </c:pt>
                <c:pt idx="21">
                  <c:v>30161</c:v>
                </c:pt>
                <c:pt idx="22">
                  <c:v>31101</c:v>
                </c:pt>
                <c:pt idx="23">
                  <c:v>29363</c:v>
                </c:pt>
                <c:pt idx="24">
                  <c:v>31183</c:v>
                </c:pt>
                <c:pt idx="25">
                  <c:v>32666</c:v>
                </c:pt>
                <c:pt idx="26">
                  <c:v>31274</c:v>
                </c:pt>
                <c:pt idx="27">
                  <c:v>34064</c:v>
                </c:pt>
                <c:pt idx="28">
                  <c:v>33099</c:v>
                </c:pt>
                <c:pt idx="29">
                  <c:v>34062</c:v>
                </c:pt>
                <c:pt idx="30">
                  <c:v>34097</c:v>
                </c:pt>
                <c:pt idx="31">
                  <c:v>38278</c:v>
                </c:pt>
                <c:pt idx="32">
                  <c:v>35980</c:v>
                </c:pt>
                <c:pt idx="33">
                  <c:v>34913</c:v>
                </c:pt>
                <c:pt idx="34">
                  <c:v>38234</c:v>
                </c:pt>
                <c:pt idx="35">
                  <c:v>35669</c:v>
                </c:pt>
                <c:pt idx="36">
                  <c:v>38313</c:v>
                </c:pt>
                <c:pt idx="37">
                  <c:v>35560</c:v>
                </c:pt>
                <c:pt idx="38">
                  <c:v>37008</c:v>
                </c:pt>
                <c:pt idx="39">
                  <c:v>39795</c:v>
                </c:pt>
                <c:pt idx="40">
                  <c:v>41108</c:v>
                </c:pt>
                <c:pt idx="41">
                  <c:v>40757</c:v>
                </c:pt>
                <c:pt idx="42">
                  <c:v>40827</c:v>
                </c:pt>
                <c:pt idx="43">
                  <c:v>41048</c:v>
                </c:pt>
                <c:pt idx="44">
                  <c:v>39782</c:v>
                </c:pt>
              </c:numCache>
            </c:numRef>
          </c:xVal>
          <c:yVal>
            <c:numRef>
              <c:f>Data!$C$2:$C$46</c:f>
              <c:numCache>
                <c:formatCode>#,##0</c:formatCode>
                <c:ptCount val="45"/>
                <c:pt idx="0">
                  <c:v>2752</c:v>
                </c:pt>
                <c:pt idx="1">
                  <c:v>2814</c:v>
                </c:pt>
                <c:pt idx="2">
                  <c:v>3824</c:v>
                </c:pt>
                <c:pt idx="3">
                  <c:v>3739</c:v>
                </c:pt>
                <c:pt idx="4">
                  <c:v>2366</c:v>
                </c:pt>
                <c:pt idx="5">
                  <c:v>3484</c:v>
                </c:pt>
                <c:pt idx="6">
                  <c:v>3613</c:v>
                </c:pt>
                <c:pt idx="7">
                  <c:v>3359</c:v>
                </c:pt>
                <c:pt idx="8">
                  <c:v>3800</c:v>
                </c:pt>
                <c:pt idx="9">
                  <c:v>4313</c:v>
                </c:pt>
                <c:pt idx="10">
                  <c:v>4111</c:v>
                </c:pt>
                <c:pt idx="11">
                  <c:v>3301</c:v>
                </c:pt>
                <c:pt idx="12">
                  <c:v>3800</c:v>
                </c:pt>
                <c:pt idx="13">
                  <c:v>3710</c:v>
                </c:pt>
                <c:pt idx="14">
                  <c:v>4150</c:v>
                </c:pt>
                <c:pt idx="15">
                  <c:v>3759</c:v>
                </c:pt>
                <c:pt idx="16">
                  <c:v>3879</c:v>
                </c:pt>
                <c:pt idx="17">
                  <c:v>3793</c:v>
                </c:pt>
                <c:pt idx="18">
                  <c:v>3548</c:v>
                </c:pt>
                <c:pt idx="19">
                  <c:v>4513</c:v>
                </c:pt>
                <c:pt idx="20">
                  <c:v>5508</c:v>
                </c:pt>
                <c:pt idx="21">
                  <c:v>4488</c:v>
                </c:pt>
                <c:pt idx="22">
                  <c:v>5167</c:v>
                </c:pt>
                <c:pt idx="23">
                  <c:v>4585</c:v>
                </c:pt>
                <c:pt idx="24">
                  <c:v>4355</c:v>
                </c:pt>
                <c:pt idx="25">
                  <c:v>5081</c:v>
                </c:pt>
                <c:pt idx="26">
                  <c:v>5460</c:v>
                </c:pt>
                <c:pt idx="27">
                  <c:v>5092</c:v>
                </c:pt>
                <c:pt idx="28">
                  <c:v>5747</c:v>
                </c:pt>
                <c:pt idx="29">
                  <c:v>3799</c:v>
                </c:pt>
                <c:pt idx="30">
                  <c:v>5526</c:v>
                </c:pt>
                <c:pt idx="31">
                  <c:v>5785</c:v>
                </c:pt>
                <c:pt idx="32">
                  <c:v>5247</c:v>
                </c:pt>
                <c:pt idx="33">
                  <c:v>5283</c:v>
                </c:pt>
                <c:pt idx="34">
                  <c:v>4741</c:v>
                </c:pt>
                <c:pt idx="35">
                  <c:v>5240</c:v>
                </c:pt>
                <c:pt idx="36">
                  <c:v>5926</c:v>
                </c:pt>
                <c:pt idx="37">
                  <c:v>6073</c:v>
                </c:pt>
                <c:pt idx="38">
                  <c:v>5292</c:v>
                </c:pt>
                <c:pt idx="39">
                  <c:v>5565</c:v>
                </c:pt>
                <c:pt idx="40">
                  <c:v>5915</c:v>
                </c:pt>
                <c:pt idx="41">
                  <c:v>6571</c:v>
                </c:pt>
                <c:pt idx="42">
                  <c:v>6288</c:v>
                </c:pt>
                <c:pt idx="43">
                  <c:v>5892</c:v>
                </c:pt>
                <c:pt idx="44">
                  <c:v>6224</c:v>
                </c:pt>
              </c:numCache>
            </c:numRef>
          </c:yVal>
          <c:smooth val="1"/>
        </c:ser>
        <c:axId val="39717504"/>
        <c:axId val="70073393"/>
      </c:scatterChart>
      <c:valAx>
        <c:axId val="39717504"/>
        <c:scaling>
          <c:orientation val="minMax"/>
          <c:max val="45000"/>
          <c:min val="1500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Guest nights ('000)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073393"/>
        <c:crosses val="autoZero"/>
        <c:crossBetween val="midCat"/>
      </c:valAx>
      <c:valAx>
        <c:axId val="7007339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Tax revenue ($m)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71750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11</xdr:col>
      <xdr:colOff>473040</xdr:colOff>
      <xdr:row>22</xdr:row>
      <xdr:rowOff>149400</xdr:rowOff>
    </xdr:to>
    <xdr:graphicFrame>
      <xdr:nvGraphicFramePr>
        <xdr:cNvPr id="0" name="Chart 1"/>
        <xdr:cNvGraphicFramePr/>
      </xdr:nvGraphicFramePr>
      <xdr:xfrm>
        <a:off x="0" y="38088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62"/>
    <col collapsed="false" customWidth="true" hidden="false" outlineLevel="0" max="7" min="4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CORREL(Data!$B$2:$B$46,Data!$C$2:$C$46)</f>
        <v>0.898781924211778</v>
      </c>
      <c r="C5" s="6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4" t="s">
        <v>6</v>
      </c>
      <c r="B8" s="5" t="n">
        <f aca="false">SQRT(B9)</f>
        <v>0.898781924211778</v>
      </c>
      <c r="C8" s="6" t="s">
        <v>7</v>
      </c>
    </row>
    <row r="9" customFormat="false" ht="15" hidden="false" customHeight="false" outlineLevel="0" collapsed="false">
      <c r="A9" s="4" t="s">
        <v>8</v>
      </c>
      <c r="B9" s="5" t="n">
        <f aca="false">RSQ(Data!$C$2:$C$46,Data!$B$2:$B$46)</f>
        <v>0.807808947289827</v>
      </c>
      <c r="C9" s="6" t="s">
        <v>9</v>
      </c>
    </row>
    <row r="10" customFormat="false" ht="15" hidden="false" customHeight="false" outlineLevel="0" collapsed="false">
      <c r="A10" s="4" t="s">
        <v>10</v>
      </c>
      <c r="B10" s="5" t="n">
        <f aca="false">1-(1-B9)*(B12-1)/(B12-2)</f>
        <v>0.803339387924474</v>
      </c>
      <c r="C10" s="6" t="s">
        <v>11</v>
      </c>
    </row>
    <row r="11" customFormat="false" ht="15" hidden="false" customHeight="false" outlineLevel="0" collapsed="false">
      <c r="A11" s="4" t="s">
        <v>12</v>
      </c>
      <c r="B11" s="7" t="n">
        <f aca="false">STEYX(Data!$C$2:$C$46,Data!$B$2:$B$46)</f>
        <v>472.939320738804</v>
      </c>
      <c r="C11" s="6" t="s">
        <v>13</v>
      </c>
    </row>
    <row r="12" customFormat="false" ht="15" hidden="false" customHeight="false" outlineLevel="0" collapsed="false">
      <c r="A12" s="4" t="s">
        <v>14</v>
      </c>
      <c r="B12" s="8" t="n">
        <f aca="false">COUNT(Data!$B$2:$B$46)</f>
        <v>45</v>
      </c>
      <c r="C12" s="6"/>
    </row>
    <row r="14" customFormat="false" ht="15" hidden="false" customHeight="false" outlineLevel="0" collapsed="false">
      <c r="A14" s="3" t="s">
        <v>15</v>
      </c>
    </row>
    <row r="15" customFormat="false" ht="15" hidden="false" customHeight="false" outlineLevel="0" collapsed="false">
      <c r="A15" s="9" t="s">
        <v>16</v>
      </c>
      <c r="B15" s="9" t="s">
        <v>17</v>
      </c>
      <c r="C15" s="9" t="s">
        <v>18</v>
      </c>
      <c r="D15" s="9" t="s">
        <v>19</v>
      </c>
      <c r="E15" s="9" t="s">
        <v>20</v>
      </c>
      <c r="F15" s="9" t="s">
        <v>21</v>
      </c>
    </row>
    <row r="16" customFormat="false" ht="15" hidden="false" customHeight="false" outlineLevel="0" collapsed="false">
      <c r="A16" s="10" t="s">
        <v>22</v>
      </c>
      <c r="B16" s="8" t="n">
        <v>1</v>
      </c>
      <c r="C16" s="11" t="n">
        <f aca="false">INDEX(LINEST(Data!$C$2:$C$46,Data!$B$2:$B$46,TRUE(),TRUE()),5,1)</f>
        <v>40425443.7304399</v>
      </c>
      <c r="D16" s="11" t="n">
        <f aca="false">C16/B16</f>
        <v>40425443.7304399</v>
      </c>
      <c r="E16" s="7" t="n">
        <f aca="false">D16/D17</f>
        <v>180.735701499303</v>
      </c>
      <c r="F16" s="12" t="n">
        <f aca="false">FDIST(E16,B16,B17)</f>
        <v>5.3336170765251E-017</v>
      </c>
    </row>
    <row r="17" customFormat="false" ht="15" hidden="false" customHeight="false" outlineLevel="0" collapsed="false">
      <c r="A17" s="10" t="s">
        <v>23</v>
      </c>
      <c r="B17" s="8" t="n">
        <f aca="false">B12-2</f>
        <v>43</v>
      </c>
      <c r="C17" s="11" t="n">
        <f aca="false">INDEX(LINEST(Data!$C$2:$C$46,Data!$B$2:$B$46,TRUE(),TRUE()),5,2)</f>
        <v>9617878.84733788</v>
      </c>
      <c r="D17" s="11" t="n">
        <f aca="false">C17/B17</f>
        <v>223671.601100881</v>
      </c>
      <c r="E17" s="11"/>
      <c r="F17" s="11"/>
    </row>
    <row r="18" customFormat="false" ht="15" hidden="false" customHeight="false" outlineLevel="0" collapsed="false">
      <c r="A18" s="10" t="s">
        <v>24</v>
      </c>
      <c r="B18" s="8" t="n">
        <f aca="false">B16+B17</f>
        <v>44</v>
      </c>
      <c r="C18" s="11" t="n">
        <f aca="false">C16+C17</f>
        <v>50043322.5777778</v>
      </c>
      <c r="D18" s="11"/>
      <c r="E18" s="11"/>
      <c r="F18" s="11"/>
    </row>
    <row r="20" customFormat="false" ht="15" hidden="false" customHeight="false" outlineLevel="0" collapsed="false">
      <c r="A20" s="3" t="s">
        <v>25</v>
      </c>
    </row>
    <row r="21" customFormat="false" ht="15" hidden="false" customHeight="false" outlineLevel="0" collapsed="false">
      <c r="A21" s="9"/>
      <c r="B21" s="9" t="s">
        <v>26</v>
      </c>
      <c r="C21" s="9" t="s">
        <v>12</v>
      </c>
      <c r="D21" s="9" t="s">
        <v>27</v>
      </c>
      <c r="E21" s="9" t="s">
        <v>28</v>
      </c>
      <c r="F21" s="9" t="s">
        <v>29</v>
      </c>
      <c r="G21" s="9" t="s">
        <v>30</v>
      </c>
    </row>
    <row r="22" customFormat="false" ht="15" hidden="false" customHeight="false" outlineLevel="0" collapsed="false">
      <c r="A22" s="10" t="s">
        <v>31</v>
      </c>
      <c r="B22" s="5" t="n">
        <f aca="false">INTERCEPT(Data!$C$2:$C$46,Data!$B$2:$B$46)</f>
        <v>33.5545145895221</v>
      </c>
      <c r="C22" s="5" t="n">
        <f aca="false">INDEX(LINEST(Data!$C$2:$C$46,Data!$B$2:$B$46,TRUE(),TRUE()),2,2)</f>
        <v>347.682471004474</v>
      </c>
      <c r="D22" s="5" t="n">
        <f aca="false">B22/C22</f>
        <v>0.0965090776436938</v>
      </c>
      <c r="E22" s="12" t="n">
        <f aca="false">TDIST(ABS(D22),$B$17,2)</f>
        <v>0.923564674278568</v>
      </c>
      <c r="F22" s="5" t="n">
        <f aca="false">B22-TINV(0.05,$B$17)*C22</f>
        <v>-667.614012493454</v>
      </c>
      <c r="G22" s="5" t="n">
        <f aca="false">B22+TINV(0.05,$B$17)*C22</f>
        <v>734.723041672499</v>
      </c>
    </row>
    <row r="23" customFormat="false" ht="15" hidden="false" customHeight="false" outlineLevel="0" collapsed="false">
      <c r="A23" s="10" t="s">
        <v>32</v>
      </c>
      <c r="B23" s="5" t="n">
        <f aca="false">SLOPE(Data!$C$2:$C$46,Data!$B$2:$B$46)</f>
        <v>0.149208526520838</v>
      </c>
      <c r="C23" s="5" t="n">
        <f aca="false">INDEX(LINEST(Data!$C$2:$C$46,Data!$B$2:$B$46,TRUE(),TRUE()),2,1)</f>
        <v>0.0110986886166764</v>
      </c>
      <c r="D23" s="5" t="n">
        <f aca="false">B23/C23</f>
        <v>13.4437978822691</v>
      </c>
      <c r="E23" s="12" t="n">
        <f aca="false">TDIST(ABS(D23),$B$17,2)</f>
        <v>5.33361707652514E-017</v>
      </c>
      <c r="F23" s="5" t="n">
        <f aca="false">B23-TINV(0.05,$B$17)*C23</f>
        <v>0.126825887765928</v>
      </c>
      <c r="G23" s="5" t="n">
        <f aca="false">B23+TINV(0.05,$B$17)*C23</f>
        <v>0.171591165275748</v>
      </c>
    </row>
    <row r="25" customFormat="false" ht="15" hidden="false" customHeight="false" outlineLevel="0" collapsed="false">
      <c r="A25" s="3" t="s">
        <v>33</v>
      </c>
    </row>
    <row r="26" customFormat="false" ht="15" hidden="false" customHeight="false" outlineLevel="0" collapsed="false">
      <c r="A26" s="4" t="s">
        <v>34</v>
      </c>
    </row>
    <row r="27" customFormat="false" ht="15" hidden="false" customHeight="false" outlineLevel="0" collapsed="false">
      <c r="A27" s="13" t="str">
        <f aca="false">"y = "&amp;TEXT(B22,"0.0000")&amp;" + "&amp;TEXT(B23,"0.0000")&amp;"x"</f>
        <v>y = 33.5545 + 0.1492x</v>
      </c>
    </row>
    <row r="28" customFormat="false" ht="15" hidden="false" customHeight="false" outlineLevel="0" collapsed="false">
      <c r="A28" s="6" t="s">
        <v>35</v>
      </c>
    </row>
    <row r="30" customFormat="false" ht="15" hidden="false" customHeight="false" outlineLevel="0" collapsed="false">
      <c r="A30" s="3" t="s">
        <v>36</v>
      </c>
    </row>
    <row r="31" customFormat="false" ht="15" hidden="false" customHeight="false" outlineLevel="0" collapsed="false">
      <c r="A31" s="4" t="s">
        <v>37</v>
      </c>
      <c r="B31" s="14" t="n">
        <v>35000</v>
      </c>
      <c r="C31" s="6" t="s">
        <v>38</v>
      </c>
    </row>
    <row r="32" customFormat="false" ht="15" hidden="false" customHeight="false" outlineLevel="0" collapsed="false">
      <c r="A32" s="4" t="s">
        <v>39</v>
      </c>
      <c r="B32" s="15" t="n">
        <f aca="false">B22+B23*B31</f>
        <v>5255.85294281887</v>
      </c>
    </row>
    <row r="33" customFormat="false" ht="15" hidden="false" customHeight="false" outlineLevel="0" collapsed="false">
      <c r="A33" s="4" t="s">
        <v>40</v>
      </c>
      <c r="B33" s="4" t="str">
        <f aca="false">IF(AND(B31&gt;=MIN(Data!$B$2:$B$46),B31&lt;=MAX(Data!$B$2:$B$46)),"Yes","No - extrapolation, use with caution")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9" t="s">
        <v>41</v>
      </c>
      <c r="B1" s="9" t="s">
        <v>32</v>
      </c>
      <c r="C1" s="9" t="s">
        <v>42</v>
      </c>
    </row>
    <row r="2" customFormat="false" ht="15" hidden="false" customHeight="false" outlineLevel="0" collapsed="false">
      <c r="A2" s="16" t="n">
        <v>1980</v>
      </c>
      <c r="B2" s="17" t="n">
        <v>20745</v>
      </c>
      <c r="C2" s="17" t="n">
        <v>2752</v>
      </c>
    </row>
    <row r="3" customFormat="false" ht="15" hidden="false" customHeight="false" outlineLevel="0" collapsed="false">
      <c r="A3" s="16" t="n">
        <v>1981</v>
      </c>
      <c r="B3" s="17" t="n">
        <v>20293</v>
      </c>
      <c r="C3" s="17" t="n">
        <v>2814</v>
      </c>
    </row>
    <row r="4" customFormat="false" ht="15" hidden="false" customHeight="false" outlineLevel="0" collapsed="false">
      <c r="A4" s="16" t="n">
        <v>1982</v>
      </c>
      <c r="B4" s="17" t="n">
        <v>21972</v>
      </c>
      <c r="C4" s="17" t="n">
        <v>3824</v>
      </c>
    </row>
    <row r="5" customFormat="false" ht="15" hidden="false" customHeight="false" outlineLevel="0" collapsed="false">
      <c r="A5" s="16" t="n">
        <v>1983</v>
      </c>
      <c r="B5" s="17" t="n">
        <v>23785</v>
      </c>
      <c r="C5" s="17" t="n">
        <v>3739</v>
      </c>
    </row>
    <row r="6" customFormat="false" ht="15" hidden="false" customHeight="false" outlineLevel="0" collapsed="false">
      <c r="A6" s="16" t="n">
        <v>1984</v>
      </c>
      <c r="B6" s="17" t="n">
        <v>21649</v>
      </c>
      <c r="C6" s="17" t="n">
        <v>2366</v>
      </c>
    </row>
    <row r="7" customFormat="false" ht="15" hidden="false" customHeight="false" outlineLevel="0" collapsed="false">
      <c r="A7" s="16" t="n">
        <v>1985</v>
      </c>
      <c r="B7" s="17" t="n">
        <v>22149</v>
      </c>
      <c r="C7" s="17" t="n">
        <v>3484</v>
      </c>
    </row>
    <row r="8" customFormat="false" ht="15" hidden="false" customHeight="false" outlineLevel="0" collapsed="false">
      <c r="A8" s="16" t="n">
        <v>1986</v>
      </c>
      <c r="B8" s="17" t="n">
        <v>25369</v>
      </c>
      <c r="C8" s="17" t="n">
        <v>3613</v>
      </c>
    </row>
    <row r="9" customFormat="false" ht="15" hidden="false" customHeight="false" outlineLevel="0" collapsed="false">
      <c r="A9" s="16" t="n">
        <v>1987</v>
      </c>
      <c r="B9" s="17" t="n">
        <v>24651</v>
      </c>
      <c r="C9" s="17" t="n">
        <v>3359</v>
      </c>
    </row>
    <row r="10" customFormat="false" ht="15" hidden="false" customHeight="false" outlineLevel="0" collapsed="false">
      <c r="A10" s="16" t="n">
        <v>1988</v>
      </c>
      <c r="B10" s="17" t="n">
        <v>23296</v>
      </c>
      <c r="C10" s="17" t="n">
        <v>3800</v>
      </c>
    </row>
    <row r="11" customFormat="false" ht="15" hidden="false" customHeight="false" outlineLevel="0" collapsed="false">
      <c r="A11" s="16" t="n">
        <v>1989</v>
      </c>
      <c r="B11" s="17" t="n">
        <v>25314</v>
      </c>
      <c r="C11" s="17" t="n">
        <v>4313</v>
      </c>
    </row>
    <row r="12" customFormat="false" ht="15" hidden="false" customHeight="false" outlineLevel="0" collapsed="false">
      <c r="A12" s="16" t="n">
        <v>1990</v>
      </c>
      <c r="B12" s="17" t="n">
        <v>24305</v>
      </c>
      <c r="C12" s="17" t="n">
        <v>4111</v>
      </c>
    </row>
    <row r="13" customFormat="false" ht="15" hidden="false" customHeight="false" outlineLevel="0" collapsed="false">
      <c r="A13" s="16" t="n">
        <v>1991</v>
      </c>
      <c r="B13" s="17" t="n">
        <v>24801</v>
      </c>
      <c r="C13" s="17" t="n">
        <v>3301</v>
      </c>
    </row>
    <row r="14" customFormat="false" ht="15" hidden="false" customHeight="false" outlineLevel="0" collapsed="false">
      <c r="A14" s="16" t="n">
        <v>1992</v>
      </c>
      <c r="B14" s="17" t="n">
        <v>26363</v>
      </c>
      <c r="C14" s="17" t="n">
        <v>3800</v>
      </c>
    </row>
    <row r="15" customFormat="false" ht="15" hidden="false" customHeight="false" outlineLevel="0" collapsed="false">
      <c r="A15" s="16" t="n">
        <v>1993</v>
      </c>
      <c r="B15" s="17" t="n">
        <v>23630</v>
      </c>
      <c r="C15" s="17" t="n">
        <v>3710</v>
      </c>
    </row>
    <row r="16" customFormat="false" ht="15" hidden="false" customHeight="false" outlineLevel="0" collapsed="false">
      <c r="A16" s="16" t="n">
        <v>1994</v>
      </c>
      <c r="B16" s="17" t="n">
        <v>24413</v>
      </c>
      <c r="C16" s="17" t="n">
        <v>4150</v>
      </c>
    </row>
    <row r="17" customFormat="false" ht="15" hidden="false" customHeight="false" outlineLevel="0" collapsed="false">
      <c r="A17" s="16" t="n">
        <v>1995</v>
      </c>
      <c r="B17" s="17" t="n">
        <v>26657</v>
      </c>
      <c r="C17" s="17" t="n">
        <v>3759</v>
      </c>
    </row>
    <row r="18" customFormat="false" ht="15" hidden="false" customHeight="false" outlineLevel="0" collapsed="false">
      <c r="A18" s="16" t="n">
        <v>1996</v>
      </c>
      <c r="B18" s="17" t="n">
        <v>26481</v>
      </c>
      <c r="C18" s="17" t="n">
        <v>3879</v>
      </c>
    </row>
    <row r="19" customFormat="false" ht="15" hidden="false" customHeight="false" outlineLevel="0" collapsed="false">
      <c r="A19" s="16" t="n">
        <v>1997</v>
      </c>
      <c r="B19" s="17" t="n">
        <v>28971</v>
      </c>
      <c r="C19" s="17" t="n">
        <v>3793</v>
      </c>
    </row>
    <row r="20" customFormat="false" ht="15" hidden="false" customHeight="false" outlineLevel="0" collapsed="false">
      <c r="A20" s="16" t="n">
        <v>1998</v>
      </c>
      <c r="B20" s="17" t="n">
        <v>27638</v>
      </c>
      <c r="C20" s="17" t="n">
        <v>3548</v>
      </c>
    </row>
    <row r="21" customFormat="false" ht="15" hidden="false" customHeight="false" outlineLevel="0" collapsed="false">
      <c r="A21" s="16" t="n">
        <v>1999</v>
      </c>
      <c r="B21" s="17" t="n">
        <v>27382</v>
      </c>
      <c r="C21" s="17" t="n">
        <v>4513</v>
      </c>
    </row>
    <row r="22" customFormat="false" ht="15" hidden="false" customHeight="false" outlineLevel="0" collapsed="false">
      <c r="A22" s="16" t="n">
        <v>2000</v>
      </c>
      <c r="B22" s="17" t="n">
        <v>32198</v>
      </c>
      <c r="C22" s="17" t="n">
        <v>5508</v>
      </c>
    </row>
    <row r="23" customFormat="false" ht="15" hidden="false" customHeight="false" outlineLevel="0" collapsed="false">
      <c r="A23" s="16" t="n">
        <v>2001</v>
      </c>
      <c r="B23" s="17" t="n">
        <v>30161</v>
      </c>
      <c r="C23" s="17" t="n">
        <v>4488</v>
      </c>
    </row>
    <row r="24" customFormat="false" ht="15" hidden="false" customHeight="false" outlineLevel="0" collapsed="false">
      <c r="A24" s="16" t="n">
        <v>2002</v>
      </c>
      <c r="B24" s="17" t="n">
        <v>31101</v>
      </c>
      <c r="C24" s="17" t="n">
        <v>5167</v>
      </c>
    </row>
    <row r="25" customFormat="false" ht="15" hidden="false" customHeight="false" outlineLevel="0" collapsed="false">
      <c r="A25" s="16" t="n">
        <v>2003</v>
      </c>
      <c r="B25" s="17" t="n">
        <v>29363</v>
      </c>
      <c r="C25" s="17" t="n">
        <v>4585</v>
      </c>
    </row>
    <row r="26" customFormat="false" ht="15" hidden="false" customHeight="false" outlineLevel="0" collapsed="false">
      <c r="A26" s="16" t="n">
        <v>2004</v>
      </c>
      <c r="B26" s="17" t="n">
        <v>31183</v>
      </c>
      <c r="C26" s="17" t="n">
        <v>4355</v>
      </c>
    </row>
    <row r="27" customFormat="false" ht="15" hidden="false" customHeight="false" outlineLevel="0" collapsed="false">
      <c r="A27" s="16" t="n">
        <v>2005</v>
      </c>
      <c r="B27" s="17" t="n">
        <v>32666</v>
      </c>
      <c r="C27" s="17" t="n">
        <v>5081</v>
      </c>
    </row>
    <row r="28" customFormat="false" ht="15" hidden="false" customHeight="false" outlineLevel="0" collapsed="false">
      <c r="A28" s="16" t="n">
        <v>2006</v>
      </c>
      <c r="B28" s="17" t="n">
        <v>31274</v>
      </c>
      <c r="C28" s="17" t="n">
        <v>5460</v>
      </c>
    </row>
    <row r="29" customFormat="false" ht="15" hidden="false" customHeight="false" outlineLevel="0" collapsed="false">
      <c r="A29" s="16" t="n">
        <v>2007</v>
      </c>
      <c r="B29" s="17" t="n">
        <v>34064</v>
      </c>
      <c r="C29" s="17" t="n">
        <v>5092</v>
      </c>
    </row>
    <row r="30" customFormat="false" ht="15" hidden="false" customHeight="false" outlineLevel="0" collapsed="false">
      <c r="A30" s="16" t="n">
        <v>2008</v>
      </c>
      <c r="B30" s="17" t="n">
        <v>33099</v>
      </c>
      <c r="C30" s="17" t="n">
        <v>5747</v>
      </c>
    </row>
    <row r="31" customFormat="false" ht="15" hidden="false" customHeight="false" outlineLevel="0" collapsed="false">
      <c r="A31" s="16" t="n">
        <v>2009</v>
      </c>
      <c r="B31" s="17" t="n">
        <v>34062</v>
      </c>
      <c r="C31" s="17" t="n">
        <v>3799</v>
      </c>
    </row>
    <row r="32" customFormat="false" ht="15" hidden="false" customHeight="false" outlineLevel="0" collapsed="false">
      <c r="A32" s="16" t="n">
        <v>2010</v>
      </c>
      <c r="B32" s="17" t="n">
        <v>34097</v>
      </c>
      <c r="C32" s="17" t="n">
        <v>5526</v>
      </c>
    </row>
    <row r="33" customFormat="false" ht="15" hidden="false" customHeight="false" outlineLevel="0" collapsed="false">
      <c r="A33" s="16" t="n">
        <v>2011</v>
      </c>
      <c r="B33" s="17" t="n">
        <v>38278</v>
      </c>
      <c r="C33" s="17" t="n">
        <v>5785</v>
      </c>
    </row>
    <row r="34" customFormat="false" ht="15" hidden="false" customHeight="false" outlineLevel="0" collapsed="false">
      <c r="A34" s="16" t="n">
        <v>2012</v>
      </c>
      <c r="B34" s="17" t="n">
        <v>35980</v>
      </c>
      <c r="C34" s="17" t="n">
        <v>5247</v>
      </c>
    </row>
    <row r="35" customFormat="false" ht="15" hidden="false" customHeight="false" outlineLevel="0" collapsed="false">
      <c r="A35" s="16" t="n">
        <v>2013</v>
      </c>
      <c r="B35" s="17" t="n">
        <v>34913</v>
      </c>
      <c r="C35" s="17" t="n">
        <v>5283</v>
      </c>
    </row>
    <row r="36" customFormat="false" ht="15" hidden="false" customHeight="false" outlineLevel="0" collapsed="false">
      <c r="A36" s="16" t="n">
        <v>2014</v>
      </c>
      <c r="B36" s="17" t="n">
        <v>38234</v>
      </c>
      <c r="C36" s="17" t="n">
        <v>4741</v>
      </c>
    </row>
    <row r="37" customFormat="false" ht="15" hidden="false" customHeight="false" outlineLevel="0" collapsed="false">
      <c r="A37" s="16" t="n">
        <v>2015</v>
      </c>
      <c r="B37" s="17" t="n">
        <v>35669</v>
      </c>
      <c r="C37" s="17" t="n">
        <v>5240</v>
      </c>
    </row>
    <row r="38" customFormat="false" ht="15" hidden="false" customHeight="false" outlineLevel="0" collapsed="false">
      <c r="A38" s="16" t="n">
        <v>2016</v>
      </c>
      <c r="B38" s="17" t="n">
        <v>38313</v>
      </c>
      <c r="C38" s="17" t="n">
        <v>5926</v>
      </c>
    </row>
    <row r="39" customFormat="false" ht="15" hidden="false" customHeight="false" outlineLevel="0" collapsed="false">
      <c r="A39" s="16" t="n">
        <v>2017</v>
      </c>
      <c r="B39" s="17" t="n">
        <v>35560</v>
      </c>
      <c r="C39" s="17" t="n">
        <v>6073</v>
      </c>
    </row>
    <row r="40" customFormat="false" ht="15" hidden="false" customHeight="false" outlineLevel="0" collapsed="false">
      <c r="A40" s="16" t="n">
        <v>2018</v>
      </c>
      <c r="B40" s="17" t="n">
        <v>37008</v>
      </c>
      <c r="C40" s="17" t="n">
        <v>5292</v>
      </c>
    </row>
    <row r="41" customFormat="false" ht="15" hidden="false" customHeight="false" outlineLevel="0" collapsed="false">
      <c r="A41" s="16" t="n">
        <v>2019</v>
      </c>
      <c r="B41" s="17" t="n">
        <v>39795</v>
      </c>
      <c r="C41" s="17" t="n">
        <v>5565</v>
      </c>
    </row>
    <row r="42" customFormat="false" ht="15" hidden="false" customHeight="false" outlineLevel="0" collapsed="false">
      <c r="A42" s="16" t="n">
        <v>2020</v>
      </c>
      <c r="B42" s="17" t="n">
        <v>41108</v>
      </c>
      <c r="C42" s="17" t="n">
        <v>5915</v>
      </c>
    </row>
    <row r="43" customFormat="false" ht="15" hidden="false" customHeight="false" outlineLevel="0" collapsed="false">
      <c r="A43" s="16" t="n">
        <v>2021</v>
      </c>
      <c r="B43" s="17" t="n">
        <v>40757</v>
      </c>
      <c r="C43" s="17" t="n">
        <v>6571</v>
      </c>
    </row>
    <row r="44" customFormat="false" ht="15" hidden="false" customHeight="false" outlineLevel="0" collapsed="false">
      <c r="A44" s="16" t="n">
        <v>2022</v>
      </c>
      <c r="B44" s="17" t="n">
        <v>40827</v>
      </c>
      <c r="C44" s="17" t="n">
        <v>6288</v>
      </c>
    </row>
    <row r="45" customFormat="false" ht="15" hidden="false" customHeight="false" outlineLevel="0" collapsed="false">
      <c r="A45" s="16" t="n">
        <v>2023</v>
      </c>
      <c r="B45" s="17" t="n">
        <v>41048</v>
      </c>
      <c r="C45" s="17" t="n">
        <v>5892</v>
      </c>
    </row>
    <row r="46" customFormat="false" ht="15" hidden="false" customHeight="false" outlineLevel="0" collapsed="false">
      <c r="A46" s="16" t="n">
        <v>2024</v>
      </c>
      <c r="B46" s="17" t="n">
        <v>39782</v>
      </c>
      <c r="C46" s="17" t="n">
        <v>6224</v>
      </c>
    </row>
    <row r="48" customFormat="false" ht="15" hidden="false" customHeight="false" outlineLevel="0" collapsed="false">
      <c r="A48" s="2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3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2026-10-29T06:47:48Z</dcterms:created>
  <dc:creator>openpyxl</dc:creator>
  <dc:description/>
  <dc:language>en-US</dc:language>
  <cp:lastModifiedBy/>
  <dcterms:modified xsi:type="dcterms:W3CDTF">2026-10-29T06:47:51Z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